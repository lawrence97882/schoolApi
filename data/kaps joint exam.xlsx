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530"/>
  <workbookPr filterPrivacy="1"/>
  <xr:revisionPtr revIDLastSave="0" documentId="13_ncr:1_{985F5061-9F60-433B-9497-B04F2FF4029D}" xr6:coauthVersionLast="46" xr6:coauthVersionMax="46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51" i="1" l="1"/>
  <c r="E51" i="1"/>
  <c r="F51" i="1"/>
  <c r="G51" i="1"/>
  <c r="H51" i="1"/>
  <c r="I51" i="1"/>
  <c r="J51" i="1"/>
  <c r="K51" i="1"/>
  <c r="L51" i="1"/>
  <c r="M51" i="1"/>
  <c r="N51" i="1"/>
  <c r="D52" i="1"/>
  <c r="E52" i="1"/>
  <c r="F52" i="1"/>
  <c r="G52" i="1"/>
  <c r="H52" i="1"/>
  <c r="I52" i="1"/>
  <c r="J52" i="1"/>
  <c r="K52" i="1"/>
  <c r="L52" i="1"/>
  <c r="M52" i="1"/>
  <c r="N52" i="1"/>
  <c r="C52" i="1"/>
  <c r="C51" i="1"/>
  <c r="J57" i="1"/>
  <c r="M54" i="1"/>
  <c r="H54" i="1"/>
  <c r="E54" i="1"/>
  <c r="N54" i="1" s="1"/>
  <c r="M50" i="1"/>
  <c r="H50" i="1"/>
  <c r="E50" i="1"/>
  <c r="M49" i="1"/>
  <c r="H49" i="1"/>
  <c r="E49" i="1"/>
  <c r="M48" i="1"/>
  <c r="H48" i="1"/>
  <c r="E48" i="1"/>
  <c r="M47" i="1"/>
  <c r="H47" i="1"/>
  <c r="E47" i="1"/>
  <c r="M46" i="1"/>
  <c r="H46" i="1"/>
  <c r="E46" i="1"/>
  <c r="M45" i="1"/>
  <c r="H45" i="1"/>
  <c r="E45" i="1"/>
  <c r="M44" i="1"/>
  <c r="H44" i="1"/>
  <c r="E44" i="1"/>
  <c r="M43" i="1"/>
  <c r="H43" i="1"/>
  <c r="E43" i="1"/>
  <c r="M42" i="1"/>
  <c r="H42" i="1"/>
  <c r="E42" i="1"/>
  <c r="M41" i="1"/>
  <c r="H41" i="1"/>
  <c r="E41" i="1"/>
  <c r="M40" i="1"/>
  <c r="H40" i="1"/>
  <c r="E40" i="1"/>
  <c r="M39" i="1"/>
  <c r="H39" i="1"/>
  <c r="E39" i="1"/>
  <c r="M38" i="1"/>
  <c r="H38" i="1"/>
  <c r="E38" i="1"/>
  <c r="M37" i="1"/>
  <c r="H37" i="1"/>
  <c r="E37" i="1"/>
  <c r="M36" i="1"/>
  <c r="H36" i="1"/>
  <c r="E36" i="1"/>
  <c r="M35" i="1"/>
  <c r="H35" i="1"/>
  <c r="E35" i="1"/>
  <c r="M34" i="1"/>
  <c r="H34" i="1"/>
  <c r="E34" i="1"/>
  <c r="M33" i="1"/>
  <c r="H33" i="1"/>
  <c r="E33" i="1"/>
  <c r="M32" i="1"/>
  <c r="H32" i="1"/>
  <c r="E32" i="1"/>
  <c r="M31" i="1"/>
  <c r="H31" i="1"/>
  <c r="E31" i="1"/>
  <c r="M30" i="1"/>
  <c r="H30" i="1"/>
  <c r="E30" i="1"/>
  <c r="M29" i="1"/>
  <c r="H29" i="1"/>
  <c r="E29" i="1"/>
  <c r="N29" i="1" s="1"/>
  <c r="M28" i="1"/>
  <c r="H28" i="1"/>
  <c r="E28" i="1"/>
  <c r="M27" i="1"/>
  <c r="H27" i="1"/>
  <c r="E27" i="1"/>
  <c r="M26" i="1"/>
  <c r="H26" i="1"/>
  <c r="E26" i="1"/>
  <c r="M25" i="1"/>
  <c r="H25" i="1"/>
  <c r="E25" i="1"/>
  <c r="M24" i="1"/>
  <c r="H24" i="1"/>
  <c r="E24" i="1"/>
  <c r="M23" i="1"/>
  <c r="H23" i="1"/>
  <c r="E23" i="1"/>
  <c r="M22" i="1"/>
  <c r="H22" i="1"/>
  <c r="E22" i="1"/>
  <c r="M21" i="1"/>
  <c r="H21" i="1"/>
  <c r="E21" i="1"/>
  <c r="M20" i="1"/>
  <c r="H20" i="1"/>
  <c r="E20" i="1"/>
  <c r="M19" i="1"/>
  <c r="H19" i="1"/>
  <c r="E19" i="1"/>
  <c r="M18" i="1"/>
  <c r="H18" i="1"/>
  <c r="E18" i="1"/>
  <c r="M17" i="1"/>
  <c r="H17" i="1"/>
  <c r="E17" i="1"/>
  <c r="M16" i="1"/>
  <c r="H16" i="1"/>
  <c r="E16" i="1"/>
  <c r="M15" i="1"/>
  <c r="H15" i="1"/>
  <c r="E15" i="1"/>
  <c r="M14" i="1"/>
  <c r="H14" i="1"/>
  <c r="E14" i="1"/>
  <c r="M13" i="1"/>
  <c r="H13" i="1"/>
  <c r="E13" i="1"/>
  <c r="M12" i="1"/>
  <c r="H12" i="1"/>
  <c r="E12" i="1"/>
  <c r="M11" i="1"/>
  <c r="H11" i="1"/>
  <c r="E11" i="1"/>
  <c r="M10" i="1"/>
  <c r="H10" i="1"/>
  <c r="E10" i="1"/>
  <c r="M9" i="1"/>
  <c r="H9" i="1"/>
  <c r="E9" i="1"/>
  <c r="M8" i="1"/>
  <c r="H8" i="1"/>
  <c r="E8" i="1"/>
  <c r="M7" i="1"/>
  <c r="H7" i="1"/>
  <c r="E7" i="1"/>
  <c r="M6" i="1"/>
  <c r="H6" i="1"/>
  <c r="E6" i="1"/>
  <c r="N43" i="1" l="1"/>
  <c r="N23" i="1"/>
  <c r="N9" i="1"/>
  <c r="N27" i="1"/>
  <c r="N19" i="1"/>
  <c r="N31" i="1"/>
  <c r="N21" i="1"/>
  <c r="N47" i="1"/>
  <c r="N25" i="1"/>
  <c r="N13" i="1"/>
  <c r="N49" i="1"/>
  <c r="N15" i="1"/>
  <c r="N37" i="1"/>
  <c r="N33" i="1"/>
  <c r="N39" i="1"/>
  <c r="N17" i="1"/>
  <c r="N41" i="1"/>
  <c r="N45" i="1"/>
  <c r="N7" i="1"/>
  <c r="N35" i="1"/>
  <c r="N11" i="1"/>
  <c r="N6" i="1"/>
  <c r="N8" i="1"/>
  <c r="N10" i="1"/>
  <c r="N12" i="1"/>
  <c r="N14" i="1"/>
  <c r="N16" i="1"/>
  <c r="N18" i="1"/>
  <c r="N20" i="1"/>
  <c r="N22" i="1"/>
  <c r="N24" i="1"/>
  <c r="N26" i="1"/>
  <c r="N28" i="1"/>
  <c r="N30" i="1"/>
  <c r="N32" i="1"/>
  <c r="N34" i="1"/>
  <c r="N36" i="1"/>
  <c r="N38" i="1"/>
  <c r="N40" i="1"/>
  <c r="N42" i="1"/>
  <c r="N44" i="1"/>
  <c r="N46" i="1"/>
  <c r="N48" i="1"/>
  <c r="N50" i="1"/>
</calcChain>
</file>

<file path=xl/sharedStrings.xml><?xml version="1.0" encoding="utf-8"?>
<sst xmlns="http://schemas.openxmlformats.org/spreadsheetml/2006/main" count="127" uniqueCount="80">
  <si>
    <t>KISERIAN ADVENTIST PRIMARY SCHOOL</t>
  </si>
  <si>
    <t>3rd  EXAM 3RD TERM</t>
  </si>
  <si>
    <t>CLASS  8</t>
  </si>
  <si>
    <t xml:space="preserve"> 25/1/2021</t>
  </si>
  <si>
    <t>JOINT</t>
  </si>
  <si>
    <t>NAME</t>
  </si>
  <si>
    <t>GENDER</t>
  </si>
  <si>
    <t>ENG</t>
  </si>
  <si>
    <t>COMP</t>
  </si>
  <si>
    <t>TOTAL</t>
  </si>
  <si>
    <t>KISW</t>
  </si>
  <si>
    <t>INSHA</t>
  </si>
  <si>
    <t>JUMLA</t>
  </si>
  <si>
    <t>MATHS</t>
  </si>
  <si>
    <t>SCI</t>
  </si>
  <si>
    <t>SS</t>
  </si>
  <si>
    <t>CRE</t>
  </si>
  <si>
    <t>TOTAL1</t>
  </si>
  <si>
    <t>POS</t>
  </si>
  <si>
    <t>COMPUTER</t>
  </si>
  <si>
    <t>COLOUR</t>
  </si>
  <si>
    <t>ALBERT KARIUKI</t>
  </si>
  <si>
    <t>B</t>
  </si>
  <si>
    <t>ALEX KAMAU</t>
  </si>
  <si>
    <t>ANGELA MBOI</t>
  </si>
  <si>
    <t>G</t>
  </si>
  <si>
    <t>ANTONY GITAU</t>
  </si>
  <si>
    <t>BENJY NYAKUNDI</t>
  </si>
  <si>
    <t>CHALYNN NJOKI</t>
  </si>
  <si>
    <t>COLLINS ONDIEKI</t>
  </si>
  <si>
    <t>CYLESTINE RAY</t>
  </si>
  <si>
    <t>DANIEL MEIKANI</t>
  </si>
  <si>
    <t>EDGER OCHIENG</t>
  </si>
  <si>
    <t>ELVIS GATHUNGU</t>
  </si>
  <si>
    <t>ELVIS KINYANJUI</t>
  </si>
  <si>
    <t>EMMANUEL KIRIMI</t>
  </si>
  <si>
    <t>EMMANUEL ONCHURU</t>
  </si>
  <si>
    <t>GEOFFREY MOKAYA</t>
  </si>
  <si>
    <t>GEORGE KIMANI</t>
  </si>
  <si>
    <t>GEORGE OWINO</t>
  </si>
  <si>
    <t>GRACE MUKAMI</t>
  </si>
  <si>
    <t>HARMONY MAKENA</t>
  </si>
  <si>
    <t>HESBON GUMBAU</t>
  </si>
  <si>
    <t>IAN NJAU</t>
  </si>
  <si>
    <t>IMMANUEL OKEMWA</t>
  </si>
  <si>
    <t>ISAAC KIPKIRUI</t>
  </si>
  <si>
    <t>JAMES KIOI</t>
  </si>
  <si>
    <t>KELVIN KIOKO</t>
  </si>
  <si>
    <t>KELVIN MEMUSI</t>
  </si>
  <si>
    <t>LAURINE JOSPHINE</t>
  </si>
  <si>
    <t>LOICE RABERA</t>
  </si>
  <si>
    <t>LORRAINE MORAA</t>
  </si>
  <si>
    <t>MALACHI MONG'ERI</t>
  </si>
  <si>
    <t>MARVIN OKOTH</t>
  </si>
  <si>
    <t>MARY WAMBUI</t>
  </si>
  <si>
    <t>MAUREEN WANJIRU</t>
  </si>
  <si>
    <t>MELANY NEMPIRIS</t>
  </si>
  <si>
    <t>MITCHELLE KANZI</t>
  </si>
  <si>
    <t>MITCHELLE NAFULA</t>
  </si>
  <si>
    <t>OLIMA ZU ULA</t>
  </si>
  <si>
    <t>OLIVIA KERUBO</t>
  </si>
  <si>
    <t>PURITY WAMBUI</t>
  </si>
  <si>
    <t>RACHAEL NDUATI</t>
  </si>
  <si>
    <t>ROBERT MAINA</t>
  </si>
  <si>
    <t>RONNY STAN MUNENE</t>
  </si>
  <si>
    <t>VICTORIA KEMUNTO</t>
  </si>
  <si>
    <t>VIOLET NYAGUTHII</t>
  </si>
  <si>
    <t>WILLIAM LEMAYAN</t>
  </si>
  <si>
    <t>MSS</t>
  </si>
  <si>
    <t>SUB-POS</t>
  </si>
  <si>
    <t>DERRICK KAHORO</t>
  </si>
  <si>
    <t>CLUSTER</t>
  </si>
  <si>
    <t>400+</t>
  </si>
  <si>
    <t>380-399</t>
  </si>
  <si>
    <t>360-379</t>
  </si>
  <si>
    <t>340-359</t>
  </si>
  <si>
    <t>320-339</t>
  </si>
  <si>
    <t>300-319</t>
  </si>
  <si>
    <t>BEL 300</t>
  </si>
  <si>
    <t>NO OF PUPILS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</si>
</sst>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3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28"/>
      <color theme="1"/>
      <name val="Calibri"/>
      <family val="2"/>
      <scheme val="minor"/>
    </font>
    <font>
      <b/>
      <sz val="28"/>
      <color rgb="FFFF0000"/>
      <name val="Calibri"/>
      <family val="2"/>
      <scheme val="minor"/>
    </font>
    <font>
      <b/>
      <sz val="22"/>
      <name val="Calibri"/>
      <family val="2"/>
      <scheme val="minor"/>
    </font>
    <font>
      <sz val="28"/>
      <color rgb="FFFF0000"/>
      <name val="Calibri"/>
      <family val="2"/>
      <scheme val="minor"/>
    </font>
    <font>
      <b/>
      <sz val="26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sz val="22"/>
      <color rgb="FFFF0000"/>
      <name val="Calibri"/>
      <family val="2"/>
      <scheme val="minor"/>
    </font>
    <font>
      <b/>
      <sz val="26"/>
      <color rgb="FFFF0000"/>
      <name val="Calibri"/>
      <family val="2"/>
      <scheme val="minor"/>
    </font>
    <font>
      <sz val="28"/>
      <color theme="1"/>
      <name val="Calibri"/>
      <family val="2"/>
      <scheme val="minor"/>
    </font>
    <font>
      <b/>
      <sz val="22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15" fontId="2" fillId="0" borderId="0" xfId="0" applyNumberFormat="1" applyFont="1" applyAlignment="1">
      <alignment horizontal="left"/>
    </xf>
    <xf numFmtId="14" fontId="3" fillId="0" borderId="0" xfId="0" applyNumberFormat="1" applyFont="1"/>
    <xf numFmtId="0" fontId="1" fillId="0" borderId="0" xfId="0" applyFont="1"/>
    <xf numFmtId="0" fontId="2" fillId="0" borderId="1" xfId="0" applyFont="1" applyBorder="1" applyAlignment="1">
      <alignment textRotation="45"/>
    </xf>
    <xf numFmtId="0" fontId="6" fillId="0" borderId="1" xfId="0" applyFont="1" applyBorder="1" applyAlignment="1">
      <alignment textRotation="45"/>
    </xf>
    <xf numFmtId="0" fontId="7" fillId="0" borderId="1" xfId="0" applyFont="1" applyBorder="1"/>
    <xf numFmtId="0" fontId="7" fillId="0" borderId="1" xfId="0" applyFont="1" applyBorder="1" applyAlignment="1">
      <alignment horizontal="center"/>
    </xf>
    <xf numFmtId="1" fontId="7" fillId="0" borderId="1" xfId="0" applyNumberFormat="1" applyFont="1" applyBorder="1" applyAlignment="1">
      <alignment horizontal="center"/>
    </xf>
    <xf numFmtId="1" fontId="7" fillId="0" borderId="2" xfId="0" applyNumberFormat="1" applyFont="1" applyBorder="1" applyAlignment="1">
      <alignment horizontal="center"/>
    </xf>
    <xf numFmtId="1" fontId="8" fillId="0" borderId="3" xfId="0" applyNumberFormat="1" applyFont="1" applyBorder="1" applyAlignment="1">
      <alignment horizontal="center"/>
    </xf>
    <xf numFmtId="1" fontId="7" fillId="0" borderId="3" xfId="0" applyNumberFormat="1" applyFont="1" applyBorder="1" applyAlignment="1">
      <alignment horizontal="center"/>
    </xf>
    <xf numFmtId="0" fontId="9" fillId="2" borderId="1" xfId="0" applyFont="1" applyFill="1" applyBorder="1"/>
    <xf numFmtId="0" fontId="8" fillId="0" borderId="1" xfId="0" applyFont="1" applyBorder="1" applyAlignment="1">
      <alignment horizontal="center"/>
    </xf>
    <xf numFmtId="1" fontId="8" fillId="0" borderId="1" xfId="0" applyNumberFormat="1" applyFont="1" applyBorder="1" applyAlignment="1">
      <alignment horizontal="center"/>
    </xf>
    <xf numFmtId="1" fontId="8" fillId="0" borderId="2" xfId="0" applyNumberFormat="1" applyFont="1" applyBorder="1" applyAlignment="1">
      <alignment horizontal="center"/>
    </xf>
    <xf numFmtId="0" fontId="9" fillId="3" borderId="1" xfId="0" applyFont="1" applyFill="1" applyBorder="1"/>
    <xf numFmtId="0" fontId="7" fillId="4" borderId="1" xfId="0" applyFont="1" applyFill="1" applyBorder="1" applyAlignment="1">
      <alignment horizontal="center"/>
    </xf>
    <xf numFmtId="0" fontId="4" fillId="0" borderId="1" xfId="0" applyFont="1" applyBorder="1"/>
    <xf numFmtId="0" fontId="8" fillId="4" borderId="1" xfId="0" applyFont="1" applyFill="1" applyBorder="1" applyAlignment="1">
      <alignment horizontal="center"/>
    </xf>
    <xf numFmtId="0" fontId="10" fillId="0" borderId="1" xfId="0" applyFont="1" applyBorder="1"/>
    <xf numFmtId="0" fontId="5" fillId="0" borderId="1" xfId="0" applyFont="1" applyBorder="1"/>
    <xf numFmtId="1" fontId="3" fillId="0" borderId="1" xfId="0" applyNumberFormat="1" applyFont="1" applyBorder="1"/>
    <xf numFmtId="1" fontId="3" fillId="0" borderId="1" xfId="0" applyNumberFormat="1" applyFont="1" applyBorder="1" applyAlignment="1">
      <alignment horizontal="center"/>
    </xf>
    <xf numFmtId="0" fontId="11" fillId="0" borderId="1" xfId="0" applyFont="1" applyBorder="1"/>
    <xf numFmtId="0" fontId="1" fillId="0" borderId="1" xfId="0" applyFont="1" applyBorder="1"/>
    <xf numFmtId="0" fontId="10" fillId="0" borderId="4" xfId="0" applyFont="1" applyBorder="1"/>
    <xf numFmtId="0" fontId="5" fillId="0" borderId="4" xfId="0" applyFont="1" applyBorder="1"/>
    <xf numFmtId="164" fontId="3" fillId="0" borderId="4" xfId="0" applyNumberFormat="1" applyFont="1" applyBorder="1" applyAlignment="1">
      <alignment horizontal="center"/>
    </xf>
    <xf numFmtId="0" fontId="11" fillId="0" borderId="0" xfId="0" applyFont="1"/>
    <xf numFmtId="0" fontId="12" fillId="0" borderId="1" xfId="0" applyFont="1" applyBorder="1" applyAlignment="1">
      <alignment horizontal="center"/>
    </xf>
    <xf numFmtId="0" fontId="3" fillId="0" borderId="1" xfId="0" applyFont="1" applyBorder="1"/>
    <xf numFmtId="0" fontId="3" fillId="0" borderId="1" xfId="0" applyFont="1" applyBorder="1" applyAlignment="1">
      <alignment horizontal="center"/>
    </xf>
    <xf numFmtId="0" fontId="6" fillId="4" borderId="0" xfId="0" applyFont="1" applyFill="1" applyBorder="1" applyAlignment="1">
      <alignment horizontal="center"/>
    </xf>
    <xf numFmtId="1" fontId="6" fillId="0" borderId="0" xfId="0" applyNumberFormat="1" applyFont="1" applyBorder="1" applyAlignment="1">
      <alignment horizontal="center"/>
    </xf>
    <xf numFmtId="0" fontId="1" fillId="0" borderId="0" xfId="0" applyFont="1" applyFill="1" applyBorder="1"/>
    <xf numFmtId="0" fontId="8" fillId="0" borderId="0" xfId="0" applyFont="1" applyBorder="1" applyAlignment="1">
      <alignment horizontal="center"/>
    </xf>
    <xf numFmtId="1" fontId="8" fillId="0" borderId="0" xfId="0" applyNumberFormat="1" applyFont="1" applyBorder="1" applyAlignment="1">
      <alignment horizontal="center"/>
    </xf>
    <xf numFmtId="0" fontId="9" fillId="3" borderId="0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57"/>
  <sheetViews>
    <sheetView tabSelected="1" topLeftCell="A45" zoomScale="77" zoomScaleNormal="77" workbookViewId="0">
      <selection activeCell="G48" sqref="G48"/>
    </sheetView>
  </sheetViews>
  <sheetFormatPr defaultRowHeight="15" x14ac:dyDescent="0.25"/>
  <cols>
    <col min="1" max="1" width="42.28515625" customWidth="1"/>
    <col min="3" max="3" width="13.42578125" customWidth="1"/>
    <col min="4" max="4" width="17.5703125" customWidth="1"/>
    <col min="5" max="5" width="19.42578125" customWidth="1"/>
    <col min="6" max="6" width="17.140625" customWidth="1"/>
    <col min="7" max="7" width="18.140625" customWidth="1"/>
    <col min="8" max="8" width="18.5703125" customWidth="1"/>
    <col min="9" max="9" width="16.140625" customWidth="1"/>
    <col min="10" max="10" width="12.85546875" customWidth="1"/>
  </cols>
  <sheetData>
    <row r="1" spans="1:17" ht="36" x14ac:dyDescent="0.55000000000000004">
      <c r="A1" s="1" t="s">
        <v>0</v>
      </c>
      <c r="B1" s="1"/>
      <c r="C1" s="1"/>
      <c r="D1" s="1"/>
      <c r="E1" s="2"/>
      <c r="F1" s="2"/>
      <c r="G1" s="2"/>
      <c r="H1" s="2"/>
      <c r="I1" s="2"/>
      <c r="J1" s="3"/>
      <c r="K1" s="3"/>
      <c r="L1" s="3"/>
      <c r="M1" s="2" t="s">
        <v>1</v>
      </c>
      <c r="N1" s="2"/>
      <c r="O1" s="2"/>
      <c r="P1" s="4"/>
    </row>
    <row r="2" spans="1:17" ht="36" x14ac:dyDescent="0.55000000000000004">
      <c r="A2" s="5" t="s">
        <v>2</v>
      </c>
      <c r="B2" s="5"/>
      <c r="C2" s="5"/>
      <c r="D2" s="1"/>
      <c r="E2" s="2"/>
      <c r="J2" s="3"/>
      <c r="K2" s="3"/>
      <c r="L2" s="3"/>
      <c r="M2" s="6" t="s">
        <v>3</v>
      </c>
      <c r="N2" s="2"/>
      <c r="O2" s="2"/>
      <c r="P2" s="4"/>
    </row>
    <row r="3" spans="1:17" ht="36" x14ac:dyDescent="0.55000000000000004">
      <c r="A3" s="1" t="s">
        <v>4</v>
      </c>
      <c r="B3" s="1"/>
      <c r="C3" s="1"/>
      <c r="D3" s="1"/>
      <c r="E3" s="2"/>
      <c r="J3" s="3"/>
      <c r="K3" s="3"/>
      <c r="L3" s="3"/>
      <c r="M3" s="3"/>
      <c r="N3" s="3"/>
      <c r="O3" s="3"/>
      <c r="P3" s="3"/>
      <c r="Q3" s="7"/>
    </row>
    <row r="4" spans="1:17" ht="36" x14ac:dyDescent="0.55000000000000004">
      <c r="A4" s="1"/>
      <c r="B4" s="1"/>
      <c r="C4" s="1"/>
      <c r="D4" s="1"/>
      <c r="E4" s="1"/>
      <c r="J4" s="3"/>
      <c r="K4" s="3"/>
      <c r="L4" s="3"/>
      <c r="M4" s="3"/>
      <c r="N4" s="3"/>
      <c r="O4" s="3"/>
      <c r="P4" s="3"/>
      <c r="Q4" s="7"/>
    </row>
    <row r="5" spans="1:17" ht="126.75" x14ac:dyDescent="0.25">
      <c r="A5" s="8" t="s">
        <v>5</v>
      </c>
      <c r="B5" s="8" t="s">
        <v>6</v>
      </c>
      <c r="C5" s="8" t="s">
        <v>7</v>
      </c>
      <c r="D5" s="8" t="s">
        <v>8</v>
      </c>
      <c r="E5" s="8" t="s">
        <v>9</v>
      </c>
      <c r="F5" s="8" t="s">
        <v>10</v>
      </c>
      <c r="G5" s="8" t="s">
        <v>11</v>
      </c>
      <c r="H5" s="8" t="s">
        <v>12</v>
      </c>
      <c r="I5" s="8" t="s">
        <v>13</v>
      </c>
      <c r="J5" s="8" t="s">
        <v>14</v>
      </c>
      <c r="K5" s="8" t="s">
        <v>15</v>
      </c>
      <c r="L5" s="8" t="s">
        <v>16</v>
      </c>
      <c r="M5" s="8" t="s">
        <v>9</v>
      </c>
      <c r="N5" s="8" t="s">
        <v>17</v>
      </c>
      <c r="O5" s="8" t="s">
        <v>18</v>
      </c>
      <c r="P5" s="8" t="s">
        <v>19</v>
      </c>
      <c r="Q5" s="9" t="s">
        <v>20</v>
      </c>
    </row>
    <row r="6" spans="1:17" ht="31.5" x14ac:dyDescent="0.5">
      <c r="A6" s="10" t="s">
        <v>21</v>
      </c>
      <c r="B6" s="11" t="s">
        <v>22</v>
      </c>
      <c r="C6" s="11">
        <v>29</v>
      </c>
      <c r="D6" s="11"/>
      <c r="E6" s="12">
        <f t="shared" ref="E6:E50" si="0">(C6+D6)/90*100</f>
        <v>32.222222222222221</v>
      </c>
      <c r="F6" s="11">
        <v>37</v>
      </c>
      <c r="G6" s="11"/>
      <c r="H6" s="12">
        <f t="shared" ref="H6:H50" si="1">(F6+G6)/90*100</f>
        <v>41.111111111111107</v>
      </c>
      <c r="I6" s="11">
        <v>68</v>
      </c>
      <c r="J6" s="11">
        <v>58</v>
      </c>
      <c r="K6" s="11"/>
      <c r="L6" s="12"/>
      <c r="M6" s="12">
        <f t="shared" ref="M6:M50" si="2">(K6+L6)/90*100</f>
        <v>0</v>
      </c>
      <c r="N6" s="13">
        <f t="shared" ref="N6:N50" si="3">(E6+H6+I6+J6+M6)</f>
        <v>199.33333333333331</v>
      </c>
      <c r="O6" s="14">
        <v>1</v>
      </c>
      <c r="P6" s="15"/>
      <c r="Q6" s="16"/>
    </row>
    <row r="7" spans="1:17" ht="28.5" x14ac:dyDescent="0.45">
      <c r="A7" s="10" t="s">
        <v>23</v>
      </c>
      <c r="B7" s="11" t="s">
        <v>22</v>
      </c>
      <c r="C7" s="11">
        <v>29</v>
      </c>
      <c r="D7" s="11"/>
      <c r="E7" s="12">
        <f t="shared" si="0"/>
        <v>32.222222222222221</v>
      </c>
      <c r="F7" s="11">
        <v>30</v>
      </c>
      <c r="G7" s="11"/>
      <c r="H7" s="12">
        <f t="shared" si="1"/>
        <v>33.333333333333329</v>
      </c>
      <c r="I7" s="11">
        <v>42</v>
      </c>
      <c r="J7" s="11">
        <v>60</v>
      </c>
      <c r="K7" s="11"/>
      <c r="L7" s="12"/>
      <c r="M7" s="12">
        <f t="shared" si="2"/>
        <v>0</v>
      </c>
      <c r="N7" s="13">
        <f t="shared" si="3"/>
        <v>167.55555555555554</v>
      </c>
      <c r="O7" s="15">
        <v>2</v>
      </c>
      <c r="P7" s="13"/>
      <c r="Q7" s="16"/>
    </row>
    <row r="8" spans="1:17" ht="31.5" x14ac:dyDescent="0.5">
      <c r="A8" s="10" t="s">
        <v>24</v>
      </c>
      <c r="B8" s="11" t="s">
        <v>25</v>
      </c>
      <c r="C8" s="12">
        <v>37</v>
      </c>
      <c r="D8" s="12"/>
      <c r="E8" s="12">
        <f t="shared" si="0"/>
        <v>41.111111111111107</v>
      </c>
      <c r="F8" s="12">
        <v>38</v>
      </c>
      <c r="G8" s="12"/>
      <c r="H8" s="12">
        <f t="shared" si="1"/>
        <v>42.222222222222221</v>
      </c>
      <c r="I8" s="11">
        <v>80</v>
      </c>
      <c r="J8" s="11">
        <v>70</v>
      </c>
      <c r="K8" s="12"/>
      <c r="L8" s="12"/>
      <c r="M8" s="12">
        <f t="shared" si="2"/>
        <v>0</v>
      </c>
      <c r="N8" s="13">
        <f t="shared" si="3"/>
        <v>233.33333333333331</v>
      </c>
      <c r="O8" s="14">
        <v>3</v>
      </c>
      <c r="P8" s="15"/>
      <c r="Q8" s="16"/>
    </row>
    <row r="9" spans="1:17" ht="28.5" x14ac:dyDescent="0.45">
      <c r="A9" s="10" t="s">
        <v>26</v>
      </c>
      <c r="B9" s="11" t="s">
        <v>22</v>
      </c>
      <c r="C9" s="11">
        <v>28</v>
      </c>
      <c r="D9" s="11"/>
      <c r="E9" s="12">
        <f t="shared" si="0"/>
        <v>31.111111111111111</v>
      </c>
      <c r="F9" s="11">
        <v>30</v>
      </c>
      <c r="G9" s="11"/>
      <c r="H9" s="12">
        <f t="shared" si="1"/>
        <v>33.333333333333329</v>
      </c>
      <c r="I9" s="11">
        <v>44</v>
      </c>
      <c r="J9" s="11">
        <v>52</v>
      </c>
      <c r="K9" s="11"/>
      <c r="L9" s="12"/>
      <c r="M9" s="12">
        <f t="shared" si="2"/>
        <v>0</v>
      </c>
      <c r="N9" s="13">
        <f t="shared" si="3"/>
        <v>160.44444444444446</v>
      </c>
      <c r="O9" s="15">
        <v>4</v>
      </c>
      <c r="P9" s="15"/>
      <c r="Q9" s="16"/>
    </row>
    <row r="10" spans="1:17" ht="31.5" x14ac:dyDescent="0.5">
      <c r="A10" s="10" t="s">
        <v>27</v>
      </c>
      <c r="B10" s="11" t="s">
        <v>22</v>
      </c>
      <c r="C10" s="17">
        <v>40</v>
      </c>
      <c r="D10" s="17"/>
      <c r="E10" s="18">
        <f t="shared" si="0"/>
        <v>44.444444444444443</v>
      </c>
      <c r="F10" s="17">
        <v>34</v>
      </c>
      <c r="G10" s="17"/>
      <c r="H10" s="18">
        <f t="shared" si="1"/>
        <v>37.777777777777779</v>
      </c>
      <c r="I10" s="17">
        <v>82</v>
      </c>
      <c r="J10" s="17">
        <v>68</v>
      </c>
      <c r="K10" s="17"/>
      <c r="L10" s="18"/>
      <c r="M10" s="18">
        <f t="shared" si="2"/>
        <v>0</v>
      </c>
      <c r="N10" s="19">
        <f t="shared" si="3"/>
        <v>232.22222222222223</v>
      </c>
      <c r="O10" s="14">
        <v>5</v>
      </c>
      <c r="P10" s="14"/>
      <c r="Q10" s="20"/>
    </row>
    <row r="11" spans="1:17" ht="28.5" x14ac:dyDescent="0.45">
      <c r="A11" s="10" t="s">
        <v>28</v>
      </c>
      <c r="B11" s="11" t="s">
        <v>25</v>
      </c>
      <c r="C11" s="11">
        <v>33</v>
      </c>
      <c r="D11" s="11"/>
      <c r="E11" s="12">
        <f t="shared" si="0"/>
        <v>36.666666666666664</v>
      </c>
      <c r="F11" s="11">
        <v>31</v>
      </c>
      <c r="G11" s="11"/>
      <c r="H11" s="12">
        <f t="shared" si="1"/>
        <v>34.444444444444443</v>
      </c>
      <c r="I11" s="11">
        <v>64</v>
      </c>
      <c r="J11" s="11">
        <v>46</v>
      </c>
      <c r="K11" s="11"/>
      <c r="L11" s="12"/>
      <c r="M11" s="12">
        <f t="shared" si="2"/>
        <v>0</v>
      </c>
      <c r="N11" s="12">
        <f t="shared" si="3"/>
        <v>181.11111111111111</v>
      </c>
      <c r="O11" s="15">
        <v>6</v>
      </c>
      <c r="P11" s="12"/>
      <c r="Q11" s="16"/>
    </row>
    <row r="12" spans="1:17" ht="31.5" x14ac:dyDescent="0.5">
      <c r="A12" s="10" t="s">
        <v>29</v>
      </c>
      <c r="B12" s="11" t="s">
        <v>22</v>
      </c>
      <c r="C12" s="11">
        <v>34</v>
      </c>
      <c r="D12" s="11"/>
      <c r="E12" s="12">
        <f t="shared" si="0"/>
        <v>37.777777777777779</v>
      </c>
      <c r="F12" s="11">
        <v>34</v>
      </c>
      <c r="G12" s="11"/>
      <c r="H12" s="12">
        <f t="shared" si="1"/>
        <v>37.777777777777779</v>
      </c>
      <c r="I12" s="11">
        <v>54</v>
      </c>
      <c r="J12" s="11">
        <v>56</v>
      </c>
      <c r="K12" s="11"/>
      <c r="L12" s="12"/>
      <c r="M12" s="12">
        <f t="shared" si="2"/>
        <v>0</v>
      </c>
      <c r="N12" s="13">
        <f t="shared" si="3"/>
        <v>185.55555555555554</v>
      </c>
      <c r="O12" s="14">
        <v>7</v>
      </c>
      <c r="P12" s="15"/>
      <c r="Q12" s="16"/>
    </row>
    <row r="13" spans="1:17" ht="31.5" x14ac:dyDescent="0.5">
      <c r="A13" s="10" t="s">
        <v>30</v>
      </c>
      <c r="B13" s="11" t="s">
        <v>22</v>
      </c>
      <c r="C13" s="17">
        <v>28</v>
      </c>
      <c r="D13" s="17"/>
      <c r="E13" s="18">
        <f t="shared" si="0"/>
        <v>31.111111111111111</v>
      </c>
      <c r="F13" s="17">
        <v>27</v>
      </c>
      <c r="G13" s="17"/>
      <c r="H13" s="18">
        <f t="shared" si="1"/>
        <v>30</v>
      </c>
      <c r="I13" s="17">
        <v>52</v>
      </c>
      <c r="J13" s="17">
        <v>58</v>
      </c>
      <c r="K13" s="17"/>
      <c r="L13" s="18"/>
      <c r="M13" s="18">
        <f t="shared" si="2"/>
        <v>0</v>
      </c>
      <c r="N13" s="19">
        <f t="shared" si="3"/>
        <v>171.11111111111111</v>
      </c>
      <c r="O13" s="15">
        <v>8</v>
      </c>
      <c r="P13" s="14"/>
      <c r="Q13" s="20"/>
    </row>
    <row r="14" spans="1:17" ht="31.5" x14ac:dyDescent="0.5">
      <c r="A14" s="10" t="s">
        <v>31</v>
      </c>
      <c r="B14" s="11" t="s">
        <v>22</v>
      </c>
      <c r="C14" s="11">
        <v>35</v>
      </c>
      <c r="D14" s="21"/>
      <c r="E14" s="12">
        <f t="shared" si="0"/>
        <v>38.888888888888893</v>
      </c>
      <c r="F14" s="11">
        <v>38</v>
      </c>
      <c r="G14" s="11"/>
      <c r="H14" s="12">
        <f t="shared" si="1"/>
        <v>42.222222222222221</v>
      </c>
      <c r="I14" s="11">
        <v>62</v>
      </c>
      <c r="J14" s="11">
        <v>66</v>
      </c>
      <c r="K14" s="11"/>
      <c r="L14" s="12"/>
      <c r="M14" s="12">
        <f t="shared" si="2"/>
        <v>0</v>
      </c>
      <c r="N14" s="13">
        <f t="shared" si="3"/>
        <v>209.11111111111111</v>
      </c>
      <c r="O14" s="14">
        <v>9</v>
      </c>
      <c r="P14" s="15"/>
      <c r="Q14" s="16"/>
    </row>
    <row r="15" spans="1:17" ht="31.5" x14ac:dyDescent="0.5">
      <c r="A15" s="10" t="s">
        <v>32</v>
      </c>
      <c r="B15" s="11" t="s">
        <v>22</v>
      </c>
      <c r="C15" s="17">
        <v>40</v>
      </c>
      <c r="D15" s="17"/>
      <c r="E15" s="18">
        <f t="shared" si="0"/>
        <v>44.444444444444443</v>
      </c>
      <c r="F15" s="17">
        <v>26</v>
      </c>
      <c r="G15" s="17"/>
      <c r="H15" s="18">
        <f t="shared" si="1"/>
        <v>28.888888888888886</v>
      </c>
      <c r="I15" s="17">
        <v>44</v>
      </c>
      <c r="J15" s="17">
        <v>52</v>
      </c>
      <c r="K15" s="17"/>
      <c r="L15" s="18"/>
      <c r="M15" s="18">
        <f t="shared" si="2"/>
        <v>0</v>
      </c>
      <c r="N15" s="19">
        <f t="shared" si="3"/>
        <v>169.33333333333331</v>
      </c>
      <c r="O15" s="15">
        <v>10</v>
      </c>
      <c r="P15" s="14"/>
      <c r="Q15" s="20"/>
    </row>
    <row r="16" spans="1:17" ht="31.5" x14ac:dyDescent="0.5">
      <c r="A16" s="10" t="s">
        <v>33</v>
      </c>
      <c r="B16" s="11" t="s">
        <v>22</v>
      </c>
      <c r="C16" s="11">
        <v>36</v>
      </c>
      <c r="D16" s="11"/>
      <c r="E16" s="12">
        <f t="shared" si="0"/>
        <v>40</v>
      </c>
      <c r="F16" s="11">
        <v>32</v>
      </c>
      <c r="G16" s="11"/>
      <c r="H16" s="12">
        <f t="shared" si="1"/>
        <v>35.555555555555557</v>
      </c>
      <c r="I16" s="11">
        <v>60</v>
      </c>
      <c r="J16" s="11">
        <v>48</v>
      </c>
      <c r="K16" s="11"/>
      <c r="L16" s="12"/>
      <c r="M16" s="12">
        <f t="shared" si="2"/>
        <v>0</v>
      </c>
      <c r="N16" s="13">
        <f t="shared" si="3"/>
        <v>183.55555555555554</v>
      </c>
      <c r="O16" s="14">
        <v>11</v>
      </c>
      <c r="P16" s="15"/>
      <c r="Q16" s="16"/>
    </row>
    <row r="17" spans="1:17" ht="28.5" x14ac:dyDescent="0.45">
      <c r="A17" s="10" t="s">
        <v>34</v>
      </c>
      <c r="B17" s="11" t="s">
        <v>22</v>
      </c>
      <c r="C17" s="11">
        <v>38</v>
      </c>
      <c r="D17" s="11"/>
      <c r="E17" s="12">
        <f t="shared" si="0"/>
        <v>42.222222222222221</v>
      </c>
      <c r="F17" s="11">
        <v>25</v>
      </c>
      <c r="G17" s="11"/>
      <c r="H17" s="12">
        <f t="shared" si="1"/>
        <v>27.777777777777779</v>
      </c>
      <c r="I17" s="11">
        <v>32</v>
      </c>
      <c r="J17" s="11">
        <v>54</v>
      </c>
      <c r="K17" s="11"/>
      <c r="L17" s="12"/>
      <c r="M17" s="12">
        <f t="shared" si="2"/>
        <v>0</v>
      </c>
      <c r="N17" s="13">
        <f t="shared" si="3"/>
        <v>156</v>
      </c>
      <c r="O17" s="15">
        <v>12</v>
      </c>
      <c r="P17" s="15"/>
      <c r="Q17" s="16"/>
    </row>
    <row r="18" spans="1:17" ht="31.5" x14ac:dyDescent="0.5">
      <c r="A18" s="10" t="s">
        <v>35</v>
      </c>
      <c r="B18" s="11" t="s">
        <v>22</v>
      </c>
      <c r="C18" s="17">
        <v>38</v>
      </c>
      <c r="D18" s="17"/>
      <c r="E18" s="18">
        <f t="shared" si="0"/>
        <v>42.222222222222221</v>
      </c>
      <c r="F18" s="17">
        <v>36</v>
      </c>
      <c r="G18" s="17"/>
      <c r="H18" s="18">
        <f t="shared" si="1"/>
        <v>40</v>
      </c>
      <c r="I18" s="17">
        <v>56</v>
      </c>
      <c r="J18" s="17">
        <v>68</v>
      </c>
      <c r="K18" s="17"/>
      <c r="L18" s="18"/>
      <c r="M18" s="18">
        <f t="shared" si="2"/>
        <v>0</v>
      </c>
      <c r="N18" s="19">
        <f t="shared" si="3"/>
        <v>206.22222222222223</v>
      </c>
      <c r="O18" s="14">
        <v>13</v>
      </c>
      <c r="P18" s="14"/>
      <c r="Q18" s="20"/>
    </row>
    <row r="19" spans="1:17" ht="28.5" x14ac:dyDescent="0.45">
      <c r="A19" s="10" t="s">
        <v>36</v>
      </c>
      <c r="B19" s="11" t="s">
        <v>22</v>
      </c>
      <c r="C19" s="11">
        <v>38</v>
      </c>
      <c r="D19" s="11"/>
      <c r="E19" s="12">
        <f t="shared" si="0"/>
        <v>42.222222222222221</v>
      </c>
      <c r="F19" s="11">
        <v>34</v>
      </c>
      <c r="G19" s="21"/>
      <c r="H19" s="12">
        <f t="shared" si="1"/>
        <v>37.777777777777779</v>
      </c>
      <c r="I19" s="11">
        <v>44</v>
      </c>
      <c r="J19" s="11">
        <v>54</v>
      </c>
      <c r="K19" s="11"/>
      <c r="L19" s="12"/>
      <c r="M19" s="12">
        <f t="shared" si="2"/>
        <v>0</v>
      </c>
      <c r="N19" s="13">
        <f t="shared" si="3"/>
        <v>178</v>
      </c>
      <c r="O19" s="15">
        <v>14</v>
      </c>
      <c r="P19" s="15"/>
      <c r="Q19" s="16"/>
    </row>
    <row r="20" spans="1:17" ht="31.5" x14ac:dyDescent="0.5">
      <c r="A20" s="10" t="s">
        <v>37</v>
      </c>
      <c r="B20" s="11" t="s">
        <v>22</v>
      </c>
      <c r="C20" s="11">
        <v>38</v>
      </c>
      <c r="D20" s="11"/>
      <c r="E20" s="12">
        <f t="shared" si="0"/>
        <v>42.222222222222221</v>
      </c>
      <c r="F20" s="11">
        <v>35</v>
      </c>
      <c r="G20" s="11"/>
      <c r="H20" s="12">
        <f t="shared" si="1"/>
        <v>38.888888888888893</v>
      </c>
      <c r="I20" s="11">
        <v>38</v>
      </c>
      <c r="J20" s="11">
        <v>48</v>
      </c>
      <c r="K20" s="11"/>
      <c r="L20" s="12"/>
      <c r="M20" s="12">
        <f t="shared" si="2"/>
        <v>0</v>
      </c>
      <c r="N20" s="13">
        <f t="shared" si="3"/>
        <v>167.11111111111111</v>
      </c>
      <c r="O20" s="14">
        <v>15</v>
      </c>
      <c r="P20" s="15"/>
      <c r="Q20" s="16"/>
    </row>
    <row r="21" spans="1:17" ht="31.5" x14ac:dyDescent="0.5">
      <c r="A21" s="10" t="s">
        <v>38</v>
      </c>
      <c r="B21" s="11" t="s">
        <v>22</v>
      </c>
      <c r="C21" s="17">
        <v>34</v>
      </c>
      <c r="D21" s="17"/>
      <c r="E21" s="18">
        <f t="shared" si="0"/>
        <v>37.777777777777779</v>
      </c>
      <c r="F21" s="17">
        <v>30</v>
      </c>
      <c r="G21" s="17"/>
      <c r="H21" s="18">
        <f t="shared" si="1"/>
        <v>33.333333333333329</v>
      </c>
      <c r="I21" s="17">
        <v>54</v>
      </c>
      <c r="J21" s="17">
        <v>60</v>
      </c>
      <c r="K21" s="17"/>
      <c r="L21" s="18"/>
      <c r="M21" s="18">
        <f t="shared" si="2"/>
        <v>0</v>
      </c>
      <c r="N21" s="19">
        <f t="shared" si="3"/>
        <v>185.11111111111111</v>
      </c>
      <c r="O21" s="15">
        <v>16</v>
      </c>
      <c r="P21" s="14"/>
      <c r="Q21" s="20"/>
    </row>
    <row r="22" spans="1:17" ht="31.5" x14ac:dyDescent="0.5">
      <c r="A22" s="10" t="s">
        <v>39</v>
      </c>
      <c r="B22" s="11" t="s">
        <v>22</v>
      </c>
      <c r="C22" s="17">
        <v>36</v>
      </c>
      <c r="D22" s="17"/>
      <c r="E22" s="18">
        <f t="shared" si="0"/>
        <v>40</v>
      </c>
      <c r="F22" s="17">
        <v>37</v>
      </c>
      <c r="G22" s="17"/>
      <c r="H22" s="18">
        <f t="shared" si="1"/>
        <v>41.111111111111107</v>
      </c>
      <c r="I22" s="17">
        <v>80</v>
      </c>
      <c r="J22" s="17">
        <v>60</v>
      </c>
      <c r="K22" s="17"/>
      <c r="L22" s="18"/>
      <c r="M22" s="18">
        <f t="shared" si="2"/>
        <v>0</v>
      </c>
      <c r="N22" s="19">
        <f t="shared" si="3"/>
        <v>221.11111111111111</v>
      </c>
      <c r="O22" s="14">
        <v>17</v>
      </c>
      <c r="P22" s="14"/>
      <c r="Q22" s="20"/>
    </row>
    <row r="23" spans="1:17" ht="31.5" x14ac:dyDescent="0.5">
      <c r="A23" s="10" t="s">
        <v>40</v>
      </c>
      <c r="B23" s="11" t="s">
        <v>25</v>
      </c>
      <c r="C23" s="17">
        <v>33</v>
      </c>
      <c r="D23" s="17"/>
      <c r="E23" s="18">
        <f t="shared" si="0"/>
        <v>36.666666666666664</v>
      </c>
      <c r="F23" s="17">
        <v>27</v>
      </c>
      <c r="G23" s="17"/>
      <c r="H23" s="18">
        <f t="shared" si="1"/>
        <v>30</v>
      </c>
      <c r="I23" s="17">
        <v>48</v>
      </c>
      <c r="J23" s="17">
        <v>54</v>
      </c>
      <c r="K23" s="17"/>
      <c r="L23" s="18"/>
      <c r="M23" s="18">
        <f t="shared" si="2"/>
        <v>0</v>
      </c>
      <c r="N23" s="19">
        <f t="shared" si="3"/>
        <v>168.66666666666666</v>
      </c>
      <c r="O23" s="15">
        <v>18</v>
      </c>
      <c r="P23" s="14"/>
      <c r="Q23" s="20"/>
    </row>
    <row r="24" spans="1:17" ht="31.5" x14ac:dyDescent="0.5">
      <c r="A24" s="10" t="s">
        <v>41</v>
      </c>
      <c r="B24" s="11" t="s">
        <v>25</v>
      </c>
      <c r="C24" s="17">
        <v>35</v>
      </c>
      <c r="D24" s="17"/>
      <c r="E24" s="18">
        <f t="shared" si="0"/>
        <v>38.888888888888893</v>
      </c>
      <c r="F24" s="17">
        <v>38</v>
      </c>
      <c r="G24" s="17"/>
      <c r="H24" s="18">
        <f t="shared" si="1"/>
        <v>42.222222222222221</v>
      </c>
      <c r="I24" s="17">
        <v>72</v>
      </c>
      <c r="J24" s="17">
        <v>72</v>
      </c>
      <c r="K24" s="17"/>
      <c r="L24" s="18"/>
      <c r="M24" s="18">
        <f t="shared" si="2"/>
        <v>0</v>
      </c>
      <c r="N24" s="19">
        <f t="shared" si="3"/>
        <v>225.11111111111111</v>
      </c>
      <c r="O24" s="14">
        <v>19</v>
      </c>
      <c r="P24" s="14"/>
      <c r="Q24" s="20"/>
    </row>
    <row r="25" spans="1:17" ht="28.5" x14ac:dyDescent="0.45">
      <c r="A25" s="10" t="s">
        <v>42</v>
      </c>
      <c r="B25" s="11" t="s">
        <v>22</v>
      </c>
      <c r="C25" s="11">
        <v>35</v>
      </c>
      <c r="D25" s="11"/>
      <c r="E25" s="12">
        <f t="shared" si="0"/>
        <v>38.888888888888893</v>
      </c>
      <c r="F25" s="11">
        <v>36</v>
      </c>
      <c r="G25" s="11"/>
      <c r="H25" s="12">
        <f t="shared" si="1"/>
        <v>40</v>
      </c>
      <c r="I25" s="11">
        <v>74</v>
      </c>
      <c r="J25" s="11">
        <v>58</v>
      </c>
      <c r="K25" s="11"/>
      <c r="L25" s="12"/>
      <c r="M25" s="12">
        <f t="shared" si="2"/>
        <v>0</v>
      </c>
      <c r="N25" s="13">
        <f t="shared" si="3"/>
        <v>210.88888888888889</v>
      </c>
      <c r="O25" s="15">
        <v>20</v>
      </c>
      <c r="P25" s="15"/>
      <c r="Q25" s="16"/>
    </row>
    <row r="26" spans="1:17" ht="31.5" x14ac:dyDescent="0.5">
      <c r="A26" s="22" t="s">
        <v>43</v>
      </c>
      <c r="B26" s="11" t="s">
        <v>22</v>
      </c>
      <c r="C26" s="11">
        <v>31</v>
      </c>
      <c r="D26" s="11"/>
      <c r="E26" s="12">
        <f t="shared" si="0"/>
        <v>34.444444444444443</v>
      </c>
      <c r="F26" s="11">
        <v>20</v>
      </c>
      <c r="G26" s="11"/>
      <c r="H26" s="12">
        <f t="shared" si="1"/>
        <v>22.222222222222221</v>
      </c>
      <c r="I26" s="11">
        <v>36</v>
      </c>
      <c r="J26" s="11">
        <v>42</v>
      </c>
      <c r="K26" s="11"/>
      <c r="L26" s="12"/>
      <c r="M26" s="12">
        <f t="shared" si="2"/>
        <v>0</v>
      </c>
      <c r="N26" s="13">
        <f t="shared" si="3"/>
        <v>134.66666666666666</v>
      </c>
      <c r="O26" s="14">
        <v>21</v>
      </c>
      <c r="P26" s="15"/>
      <c r="Q26" s="16"/>
    </row>
    <row r="27" spans="1:17" ht="31.5" x14ac:dyDescent="0.5">
      <c r="A27" s="10" t="s">
        <v>44</v>
      </c>
      <c r="B27" s="11" t="s">
        <v>22</v>
      </c>
      <c r="C27" s="17">
        <v>40</v>
      </c>
      <c r="D27" s="23"/>
      <c r="E27" s="18">
        <f t="shared" si="0"/>
        <v>44.444444444444443</v>
      </c>
      <c r="F27" s="23">
        <v>37</v>
      </c>
      <c r="G27" s="23"/>
      <c r="H27" s="18">
        <f t="shared" si="1"/>
        <v>41.111111111111107</v>
      </c>
      <c r="I27" s="17">
        <v>64</v>
      </c>
      <c r="J27" s="17">
        <v>38</v>
      </c>
      <c r="K27" s="23"/>
      <c r="L27" s="18"/>
      <c r="M27" s="18">
        <f t="shared" si="2"/>
        <v>0</v>
      </c>
      <c r="N27" s="19">
        <f t="shared" si="3"/>
        <v>187.55555555555554</v>
      </c>
      <c r="O27" s="15">
        <v>22</v>
      </c>
      <c r="P27" s="14"/>
      <c r="Q27" s="20"/>
    </row>
    <row r="28" spans="1:17" ht="31.5" x14ac:dyDescent="0.5">
      <c r="A28" s="10" t="s">
        <v>45</v>
      </c>
      <c r="B28" s="11" t="s">
        <v>22</v>
      </c>
      <c r="C28" s="17">
        <v>37</v>
      </c>
      <c r="D28" s="17"/>
      <c r="E28" s="18">
        <f t="shared" si="0"/>
        <v>41.111111111111107</v>
      </c>
      <c r="F28" s="17">
        <v>24</v>
      </c>
      <c r="G28" s="17"/>
      <c r="H28" s="18">
        <f t="shared" si="1"/>
        <v>26.666666666666668</v>
      </c>
      <c r="I28" s="17">
        <v>44</v>
      </c>
      <c r="J28" s="17">
        <v>44</v>
      </c>
      <c r="K28" s="17"/>
      <c r="L28" s="18"/>
      <c r="M28" s="18">
        <f t="shared" si="2"/>
        <v>0</v>
      </c>
      <c r="N28" s="19">
        <f t="shared" si="3"/>
        <v>155.77777777777777</v>
      </c>
      <c r="O28" s="14">
        <v>23</v>
      </c>
      <c r="P28" s="14"/>
      <c r="Q28" s="20"/>
    </row>
    <row r="29" spans="1:17" ht="28.5" x14ac:dyDescent="0.45">
      <c r="A29" s="10" t="s">
        <v>46</v>
      </c>
      <c r="B29" s="11" t="s">
        <v>22</v>
      </c>
      <c r="C29" s="11">
        <v>28</v>
      </c>
      <c r="D29" s="21"/>
      <c r="E29" s="12">
        <f t="shared" si="0"/>
        <v>31.111111111111111</v>
      </c>
      <c r="F29" s="11">
        <v>33</v>
      </c>
      <c r="G29" s="11"/>
      <c r="H29" s="12">
        <f t="shared" si="1"/>
        <v>36.666666666666664</v>
      </c>
      <c r="I29" s="11">
        <v>48</v>
      </c>
      <c r="J29" s="11">
        <v>40</v>
      </c>
      <c r="K29" s="11"/>
      <c r="L29" s="12"/>
      <c r="M29" s="12">
        <f t="shared" si="2"/>
        <v>0</v>
      </c>
      <c r="N29" s="13">
        <f t="shared" si="3"/>
        <v>155.77777777777777</v>
      </c>
      <c r="O29" s="15">
        <v>24</v>
      </c>
      <c r="P29" s="15"/>
      <c r="Q29" s="16"/>
    </row>
    <row r="30" spans="1:17" ht="31.5" x14ac:dyDescent="0.5">
      <c r="A30" s="10" t="s">
        <v>47</v>
      </c>
      <c r="B30" s="11" t="s">
        <v>22</v>
      </c>
      <c r="C30" s="17">
        <v>37</v>
      </c>
      <c r="D30" s="17"/>
      <c r="E30" s="18">
        <f t="shared" si="0"/>
        <v>41.111111111111107</v>
      </c>
      <c r="F30" s="17">
        <v>32</v>
      </c>
      <c r="G30" s="17"/>
      <c r="H30" s="18">
        <f t="shared" si="1"/>
        <v>35.555555555555557</v>
      </c>
      <c r="I30" s="17">
        <v>38</v>
      </c>
      <c r="J30" s="17">
        <v>54</v>
      </c>
      <c r="K30" s="17"/>
      <c r="L30" s="17"/>
      <c r="M30" s="18">
        <f t="shared" si="2"/>
        <v>0</v>
      </c>
      <c r="N30" s="19">
        <f t="shared" si="3"/>
        <v>168.66666666666666</v>
      </c>
      <c r="O30" s="14">
        <v>25</v>
      </c>
      <c r="P30" s="14"/>
      <c r="Q30" s="20"/>
    </row>
    <row r="31" spans="1:17" ht="28.5" x14ac:dyDescent="0.45">
      <c r="A31" s="10" t="s">
        <v>48</v>
      </c>
      <c r="B31" s="11" t="s">
        <v>22</v>
      </c>
      <c r="C31" s="11">
        <v>29</v>
      </c>
      <c r="D31" s="11"/>
      <c r="E31" s="12">
        <f t="shared" si="0"/>
        <v>32.222222222222221</v>
      </c>
      <c r="F31" s="11">
        <v>26</v>
      </c>
      <c r="G31" s="11"/>
      <c r="H31" s="12">
        <f t="shared" si="1"/>
        <v>28.888888888888886</v>
      </c>
      <c r="I31" s="11">
        <v>40</v>
      </c>
      <c r="J31" s="11">
        <v>52</v>
      </c>
      <c r="K31" s="11"/>
      <c r="L31" s="12"/>
      <c r="M31" s="12">
        <f t="shared" si="2"/>
        <v>0</v>
      </c>
      <c r="N31" s="13">
        <f t="shared" si="3"/>
        <v>153.11111111111111</v>
      </c>
      <c r="O31" s="15">
        <v>26</v>
      </c>
      <c r="P31" s="15"/>
      <c r="Q31" s="16"/>
    </row>
    <row r="32" spans="1:17" ht="31.5" x14ac:dyDescent="0.5">
      <c r="A32" s="10" t="s">
        <v>49</v>
      </c>
      <c r="B32" s="11" t="s">
        <v>25</v>
      </c>
      <c r="C32" s="11">
        <v>33</v>
      </c>
      <c r="D32" s="11"/>
      <c r="E32" s="12">
        <f t="shared" si="0"/>
        <v>36.666666666666664</v>
      </c>
      <c r="F32" s="11">
        <v>35</v>
      </c>
      <c r="G32" s="11"/>
      <c r="H32" s="12">
        <f t="shared" si="1"/>
        <v>38.888888888888893</v>
      </c>
      <c r="I32" s="11">
        <v>44</v>
      </c>
      <c r="J32" s="11">
        <v>58</v>
      </c>
      <c r="K32" s="11"/>
      <c r="L32" s="12"/>
      <c r="M32" s="12">
        <f t="shared" si="2"/>
        <v>0</v>
      </c>
      <c r="N32" s="13">
        <f t="shared" si="3"/>
        <v>177.55555555555554</v>
      </c>
      <c r="O32" s="14">
        <v>27</v>
      </c>
      <c r="P32" s="13"/>
      <c r="Q32" s="16"/>
    </row>
    <row r="33" spans="1:17" ht="31.5" x14ac:dyDescent="0.5">
      <c r="A33" s="10" t="s">
        <v>50</v>
      </c>
      <c r="B33" s="11" t="s">
        <v>25</v>
      </c>
      <c r="C33" s="17">
        <v>34</v>
      </c>
      <c r="D33" s="23"/>
      <c r="E33" s="18">
        <f t="shared" si="0"/>
        <v>37.777777777777779</v>
      </c>
      <c r="F33" s="23">
        <v>32</v>
      </c>
      <c r="G33" s="23"/>
      <c r="H33" s="18">
        <f t="shared" si="1"/>
        <v>35.555555555555557</v>
      </c>
      <c r="I33" s="17">
        <v>32</v>
      </c>
      <c r="J33" s="17">
        <v>52</v>
      </c>
      <c r="K33" s="23"/>
      <c r="L33" s="18"/>
      <c r="M33" s="18">
        <f t="shared" si="2"/>
        <v>0</v>
      </c>
      <c r="N33" s="18">
        <f t="shared" si="3"/>
        <v>157.33333333333334</v>
      </c>
      <c r="O33" s="15">
        <v>28</v>
      </c>
      <c r="P33" s="18"/>
      <c r="Q33" s="20"/>
    </row>
    <row r="34" spans="1:17" ht="31.5" x14ac:dyDescent="0.5">
      <c r="A34" s="10" t="s">
        <v>51</v>
      </c>
      <c r="B34" s="11" t="s">
        <v>25</v>
      </c>
      <c r="C34" s="11">
        <v>35</v>
      </c>
      <c r="D34" s="11"/>
      <c r="E34" s="12">
        <f t="shared" si="0"/>
        <v>38.888888888888893</v>
      </c>
      <c r="F34" s="11">
        <v>30</v>
      </c>
      <c r="G34" s="11"/>
      <c r="H34" s="12">
        <f t="shared" si="1"/>
        <v>33.333333333333329</v>
      </c>
      <c r="I34" s="11">
        <v>36</v>
      </c>
      <c r="J34" s="11">
        <v>38</v>
      </c>
      <c r="K34" s="11"/>
      <c r="L34" s="12"/>
      <c r="M34" s="12">
        <f t="shared" si="2"/>
        <v>0</v>
      </c>
      <c r="N34" s="12">
        <f t="shared" si="3"/>
        <v>146.22222222222223</v>
      </c>
      <c r="O34" s="14">
        <v>29</v>
      </c>
      <c r="P34" s="12"/>
      <c r="Q34" s="16"/>
    </row>
    <row r="35" spans="1:17" ht="31.5" x14ac:dyDescent="0.5">
      <c r="A35" s="10" t="s">
        <v>52</v>
      </c>
      <c r="B35" s="11" t="s">
        <v>22</v>
      </c>
      <c r="C35" s="17">
        <v>36</v>
      </c>
      <c r="D35" s="17"/>
      <c r="E35" s="18">
        <f t="shared" si="0"/>
        <v>40</v>
      </c>
      <c r="F35" s="17">
        <v>33</v>
      </c>
      <c r="G35" s="17"/>
      <c r="H35" s="18">
        <f t="shared" si="1"/>
        <v>36.666666666666664</v>
      </c>
      <c r="I35" s="17">
        <v>54</v>
      </c>
      <c r="J35" s="17">
        <v>54</v>
      </c>
      <c r="K35" s="17"/>
      <c r="L35" s="18"/>
      <c r="M35" s="18">
        <f t="shared" si="2"/>
        <v>0</v>
      </c>
      <c r="N35" s="18">
        <f t="shared" si="3"/>
        <v>184.66666666666666</v>
      </c>
      <c r="O35" s="15">
        <v>30</v>
      </c>
      <c r="P35" s="18"/>
      <c r="Q35" s="20"/>
    </row>
    <row r="36" spans="1:17" ht="31.5" x14ac:dyDescent="0.5">
      <c r="A36" s="22" t="s">
        <v>53</v>
      </c>
      <c r="B36" s="11" t="s">
        <v>22</v>
      </c>
      <c r="C36" s="11">
        <v>42</v>
      </c>
      <c r="D36" s="11"/>
      <c r="E36" s="12">
        <f t="shared" si="0"/>
        <v>46.666666666666664</v>
      </c>
      <c r="F36" s="11">
        <v>36</v>
      </c>
      <c r="G36" s="11"/>
      <c r="H36" s="12">
        <f t="shared" si="1"/>
        <v>40</v>
      </c>
      <c r="I36" s="11">
        <v>60</v>
      </c>
      <c r="J36" s="11">
        <v>56</v>
      </c>
      <c r="K36" s="11"/>
      <c r="L36" s="12"/>
      <c r="M36" s="12">
        <f t="shared" si="2"/>
        <v>0</v>
      </c>
      <c r="N36" s="12">
        <f t="shared" si="3"/>
        <v>202.66666666666666</v>
      </c>
      <c r="O36" s="14">
        <v>31</v>
      </c>
      <c r="P36" s="12"/>
      <c r="Q36" s="16"/>
    </row>
    <row r="37" spans="1:17" ht="28.5" x14ac:dyDescent="0.45">
      <c r="A37" s="10" t="s">
        <v>54</v>
      </c>
      <c r="B37" s="11" t="s">
        <v>25</v>
      </c>
      <c r="C37" s="11">
        <v>35</v>
      </c>
      <c r="D37" s="11"/>
      <c r="E37" s="12">
        <f t="shared" si="0"/>
        <v>38.888888888888893</v>
      </c>
      <c r="F37" s="11">
        <v>30</v>
      </c>
      <c r="G37" s="11"/>
      <c r="H37" s="12">
        <f t="shared" si="1"/>
        <v>33.333333333333329</v>
      </c>
      <c r="I37" s="11">
        <v>44</v>
      </c>
      <c r="J37" s="11">
        <v>50</v>
      </c>
      <c r="K37" s="11"/>
      <c r="L37" s="12"/>
      <c r="M37" s="12">
        <f t="shared" si="2"/>
        <v>0</v>
      </c>
      <c r="N37" s="12">
        <f t="shared" si="3"/>
        <v>166.22222222222223</v>
      </c>
      <c r="O37" s="15">
        <v>32</v>
      </c>
      <c r="P37" s="12"/>
      <c r="Q37" s="16"/>
    </row>
    <row r="38" spans="1:17" ht="31.5" x14ac:dyDescent="0.5">
      <c r="A38" s="10" t="s">
        <v>55</v>
      </c>
      <c r="B38" s="11" t="s">
        <v>25</v>
      </c>
      <c r="C38" s="17">
        <v>32</v>
      </c>
      <c r="D38" s="17"/>
      <c r="E38" s="18">
        <f t="shared" si="0"/>
        <v>35.555555555555557</v>
      </c>
      <c r="F38" s="17">
        <v>36</v>
      </c>
      <c r="G38" s="17"/>
      <c r="H38" s="18">
        <f t="shared" si="1"/>
        <v>40</v>
      </c>
      <c r="I38" s="17">
        <v>56</v>
      </c>
      <c r="J38" s="17">
        <v>50</v>
      </c>
      <c r="K38" s="17"/>
      <c r="L38" s="18"/>
      <c r="M38" s="18">
        <f t="shared" si="2"/>
        <v>0</v>
      </c>
      <c r="N38" s="18">
        <f t="shared" si="3"/>
        <v>181.55555555555554</v>
      </c>
      <c r="O38" s="14">
        <v>33</v>
      </c>
      <c r="P38" s="18"/>
      <c r="Q38" s="20"/>
    </row>
    <row r="39" spans="1:17" ht="31.5" x14ac:dyDescent="0.5">
      <c r="A39" s="10" t="s">
        <v>56</v>
      </c>
      <c r="B39" s="11" t="s">
        <v>25</v>
      </c>
      <c r="C39" s="17">
        <v>37</v>
      </c>
      <c r="D39" s="17"/>
      <c r="E39" s="18">
        <f t="shared" si="0"/>
        <v>41.111111111111107</v>
      </c>
      <c r="F39" s="17">
        <v>33</v>
      </c>
      <c r="G39" s="17"/>
      <c r="H39" s="18">
        <f t="shared" si="1"/>
        <v>36.666666666666664</v>
      </c>
      <c r="I39" s="17">
        <v>68</v>
      </c>
      <c r="J39" s="17">
        <v>56</v>
      </c>
      <c r="K39" s="17"/>
      <c r="L39" s="18"/>
      <c r="M39" s="18">
        <f t="shared" si="2"/>
        <v>0</v>
      </c>
      <c r="N39" s="18">
        <f t="shared" si="3"/>
        <v>201.77777777777777</v>
      </c>
      <c r="O39" s="15">
        <v>34</v>
      </c>
      <c r="P39" s="18"/>
      <c r="Q39" s="20"/>
    </row>
    <row r="40" spans="1:17" ht="31.5" x14ac:dyDescent="0.5">
      <c r="A40" s="10" t="s">
        <v>57</v>
      </c>
      <c r="B40" s="11" t="s">
        <v>25</v>
      </c>
      <c r="C40" s="11">
        <v>31</v>
      </c>
      <c r="D40" s="11"/>
      <c r="E40" s="12">
        <f t="shared" si="0"/>
        <v>34.444444444444443</v>
      </c>
      <c r="F40" s="11">
        <v>27</v>
      </c>
      <c r="G40" s="11"/>
      <c r="H40" s="12">
        <f t="shared" si="1"/>
        <v>30</v>
      </c>
      <c r="I40" s="11">
        <v>48</v>
      </c>
      <c r="J40" s="11">
        <v>56</v>
      </c>
      <c r="K40" s="11"/>
      <c r="L40" s="12"/>
      <c r="M40" s="12">
        <f t="shared" si="2"/>
        <v>0</v>
      </c>
      <c r="N40" s="12">
        <f t="shared" si="3"/>
        <v>168.44444444444446</v>
      </c>
      <c r="O40" s="14">
        <v>35</v>
      </c>
      <c r="P40" s="12"/>
      <c r="Q40" s="16"/>
    </row>
    <row r="41" spans="1:17" ht="28.5" x14ac:dyDescent="0.45">
      <c r="A41" s="10" t="s">
        <v>58</v>
      </c>
      <c r="B41" s="11" t="s">
        <v>25</v>
      </c>
      <c r="C41" s="11">
        <v>35</v>
      </c>
      <c r="D41" s="11"/>
      <c r="E41" s="12">
        <f t="shared" si="0"/>
        <v>38.888888888888893</v>
      </c>
      <c r="F41" s="11">
        <v>35</v>
      </c>
      <c r="G41" s="11"/>
      <c r="H41" s="12">
        <f t="shared" si="1"/>
        <v>38.888888888888893</v>
      </c>
      <c r="I41" s="11">
        <v>44</v>
      </c>
      <c r="J41" s="11">
        <v>42</v>
      </c>
      <c r="K41" s="11"/>
      <c r="L41" s="12"/>
      <c r="M41" s="12">
        <f t="shared" si="2"/>
        <v>0</v>
      </c>
      <c r="N41" s="12">
        <f t="shared" si="3"/>
        <v>163.77777777777777</v>
      </c>
      <c r="O41" s="15">
        <v>36</v>
      </c>
      <c r="P41" s="12"/>
      <c r="Q41" s="16"/>
    </row>
    <row r="42" spans="1:17" ht="31.5" x14ac:dyDescent="0.5">
      <c r="A42" s="10" t="s">
        <v>59</v>
      </c>
      <c r="B42" s="11" t="s">
        <v>25</v>
      </c>
      <c r="C42" s="17">
        <v>39</v>
      </c>
      <c r="D42" s="23"/>
      <c r="E42" s="18">
        <f t="shared" si="0"/>
        <v>43.333333333333336</v>
      </c>
      <c r="F42" s="23">
        <v>39</v>
      </c>
      <c r="G42" s="23"/>
      <c r="H42" s="18">
        <f t="shared" si="1"/>
        <v>43.333333333333336</v>
      </c>
      <c r="I42" s="17">
        <v>80</v>
      </c>
      <c r="J42" s="17">
        <v>54</v>
      </c>
      <c r="K42" s="23"/>
      <c r="L42" s="18"/>
      <c r="M42" s="18">
        <f t="shared" si="2"/>
        <v>0</v>
      </c>
      <c r="N42" s="18">
        <f t="shared" si="3"/>
        <v>220.66666666666669</v>
      </c>
      <c r="O42" s="14">
        <v>37</v>
      </c>
      <c r="P42" s="18"/>
      <c r="Q42" s="20"/>
    </row>
    <row r="43" spans="1:17" ht="28.5" x14ac:dyDescent="0.45">
      <c r="A43" s="10" t="s">
        <v>60</v>
      </c>
      <c r="B43" s="11" t="s">
        <v>25</v>
      </c>
      <c r="C43" s="11">
        <v>34</v>
      </c>
      <c r="D43" s="11"/>
      <c r="E43" s="12">
        <f t="shared" si="0"/>
        <v>37.777777777777779</v>
      </c>
      <c r="F43" s="11">
        <v>27</v>
      </c>
      <c r="G43" s="11"/>
      <c r="H43" s="12">
        <f t="shared" si="1"/>
        <v>30</v>
      </c>
      <c r="I43" s="11">
        <v>34</v>
      </c>
      <c r="J43" s="11">
        <v>52</v>
      </c>
      <c r="K43" s="11"/>
      <c r="L43" s="12"/>
      <c r="M43" s="12">
        <f t="shared" si="2"/>
        <v>0</v>
      </c>
      <c r="N43" s="12">
        <f t="shared" si="3"/>
        <v>153.77777777777777</v>
      </c>
      <c r="O43" s="15">
        <v>38</v>
      </c>
      <c r="P43" s="12"/>
      <c r="Q43" s="16"/>
    </row>
    <row r="44" spans="1:17" ht="31.5" x14ac:dyDescent="0.5">
      <c r="A44" s="10" t="s">
        <v>61</v>
      </c>
      <c r="B44" s="11" t="s">
        <v>25</v>
      </c>
      <c r="C44" s="17">
        <v>32</v>
      </c>
      <c r="D44" s="17"/>
      <c r="E44" s="18">
        <f t="shared" si="0"/>
        <v>35.555555555555557</v>
      </c>
      <c r="F44" s="17">
        <v>28</v>
      </c>
      <c r="G44" s="17"/>
      <c r="H44" s="18">
        <f t="shared" si="1"/>
        <v>31.111111111111111</v>
      </c>
      <c r="I44" s="17">
        <v>60</v>
      </c>
      <c r="J44" s="17">
        <v>48</v>
      </c>
      <c r="K44" s="17"/>
      <c r="L44" s="18"/>
      <c r="M44" s="18">
        <f t="shared" si="2"/>
        <v>0</v>
      </c>
      <c r="N44" s="19">
        <f t="shared" si="3"/>
        <v>174.66666666666669</v>
      </c>
      <c r="O44" s="14">
        <v>39</v>
      </c>
      <c r="P44" s="19"/>
      <c r="Q44" s="20"/>
    </row>
    <row r="45" spans="1:17" ht="28.5" x14ac:dyDescent="0.45">
      <c r="A45" s="10" t="s">
        <v>62</v>
      </c>
      <c r="B45" s="11" t="s">
        <v>25</v>
      </c>
      <c r="C45" s="11">
        <v>34</v>
      </c>
      <c r="D45" s="11"/>
      <c r="E45" s="12">
        <f t="shared" si="0"/>
        <v>37.777777777777779</v>
      </c>
      <c r="F45" s="11">
        <v>33</v>
      </c>
      <c r="G45" s="11"/>
      <c r="H45" s="12">
        <f t="shared" si="1"/>
        <v>36.666666666666664</v>
      </c>
      <c r="I45" s="11">
        <v>62</v>
      </c>
      <c r="J45" s="11">
        <v>68</v>
      </c>
      <c r="K45" s="11"/>
      <c r="L45" s="12"/>
      <c r="M45" s="12">
        <f t="shared" si="2"/>
        <v>0</v>
      </c>
      <c r="N45" s="12">
        <f t="shared" si="3"/>
        <v>204.44444444444446</v>
      </c>
      <c r="O45" s="15">
        <v>40</v>
      </c>
      <c r="P45" s="12"/>
      <c r="Q45" s="16"/>
    </row>
    <row r="46" spans="1:17" ht="31.5" x14ac:dyDescent="0.5">
      <c r="A46" s="10" t="s">
        <v>63</v>
      </c>
      <c r="B46" s="11" t="s">
        <v>22</v>
      </c>
      <c r="C46" s="17">
        <v>34</v>
      </c>
      <c r="D46" s="17"/>
      <c r="E46" s="18">
        <f t="shared" si="0"/>
        <v>37.777777777777779</v>
      </c>
      <c r="F46" s="17">
        <v>28</v>
      </c>
      <c r="G46" s="17"/>
      <c r="H46" s="18">
        <f t="shared" si="1"/>
        <v>31.111111111111111</v>
      </c>
      <c r="I46" s="17">
        <v>32</v>
      </c>
      <c r="J46" s="17">
        <v>40</v>
      </c>
      <c r="K46" s="17"/>
      <c r="L46" s="18"/>
      <c r="M46" s="18">
        <f t="shared" si="2"/>
        <v>0</v>
      </c>
      <c r="N46" s="18">
        <f t="shared" si="3"/>
        <v>140.88888888888889</v>
      </c>
      <c r="O46" s="14">
        <v>41</v>
      </c>
      <c r="P46" s="18"/>
      <c r="Q46" s="20"/>
    </row>
    <row r="47" spans="1:17" ht="28.5" x14ac:dyDescent="0.45">
      <c r="A47" s="10" t="s">
        <v>64</v>
      </c>
      <c r="B47" s="11" t="s">
        <v>22</v>
      </c>
      <c r="C47" s="11">
        <v>26</v>
      </c>
      <c r="D47" s="21"/>
      <c r="E47" s="12">
        <f t="shared" si="0"/>
        <v>28.888888888888886</v>
      </c>
      <c r="F47" s="11">
        <v>33</v>
      </c>
      <c r="G47" s="11"/>
      <c r="H47" s="12">
        <f t="shared" si="1"/>
        <v>36.666666666666664</v>
      </c>
      <c r="I47" s="11">
        <v>64</v>
      </c>
      <c r="J47" s="11">
        <v>40</v>
      </c>
      <c r="K47" s="11"/>
      <c r="L47" s="12"/>
      <c r="M47" s="12">
        <f t="shared" si="2"/>
        <v>0</v>
      </c>
      <c r="N47" s="12">
        <f t="shared" si="3"/>
        <v>169.55555555555554</v>
      </c>
      <c r="O47" s="15">
        <v>42</v>
      </c>
      <c r="P47" s="12"/>
      <c r="Q47" s="16"/>
    </row>
    <row r="48" spans="1:17" ht="31.5" x14ac:dyDescent="0.5">
      <c r="A48" s="10" t="s">
        <v>65</v>
      </c>
      <c r="B48" s="11" t="s">
        <v>25</v>
      </c>
      <c r="C48" s="11">
        <v>32</v>
      </c>
      <c r="D48" s="11"/>
      <c r="E48" s="12">
        <f t="shared" si="0"/>
        <v>35.555555555555557</v>
      </c>
      <c r="F48" s="11"/>
      <c r="G48" s="11"/>
      <c r="H48" s="12">
        <f t="shared" si="1"/>
        <v>0</v>
      </c>
      <c r="I48" s="11">
        <v>78</v>
      </c>
      <c r="J48" s="11"/>
      <c r="K48" s="11"/>
      <c r="L48" s="12"/>
      <c r="M48" s="12">
        <f t="shared" si="2"/>
        <v>0</v>
      </c>
      <c r="N48" s="12">
        <f t="shared" si="3"/>
        <v>113.55555555555556</v>
      </c>
      <c r="O48" s="14">
        <v>43</v>
      </c>
      <c r="P48" s="12"/>
      <c r="Q48" s="16"/>
    </row>
    <row r="49" spans="1:17" ht="28.5" x14ac:dyDescent="0.45">
      <c r="A49" s="10" t="s">
        <v>66</v>
      </c>
      <c r="B49" s="11" t="s">
        <v>25</v>
      </c>
      <c r="C49" s="11">
        <v>30</v>
      </c>
      <c r="D49" s="11"/>
      <c r="E49" s="12">
        <f t="shared" si="0"/>
        <v>33.333333333333329</v>
      </c>
      <c r="F49" s="11">
        <v>29</v>
      </c>
      <c r="G49" s="11"/>
      <c r="H49" s="12">
        <f t="shared" si="1"/>
        <v>32.222222222222221</v>
      </c>
      <c r="I49" s="11">
        <v>50</v>
      </c>
      <c r="J49" s="11">
        <v>46</v>
      </c>
      <c r="K49" s="11"/>
      <c r="L49" s="12"/>
      <c r="M49" s="12">
        <f t="shared" si="2"/>
        <v>0</v>
      </c>
      <c r="N49" s="12">
        <f t="shared" si="3"/>
        <v>161.55555555555554</v>
      </c>
      <c r="O49" s="15">
        <v>44</v>
      </c>
      <c r="P49" s="12"/>
      <c r="Q49" s="16"/>
    </row>
    <row r="50" spans="1:17" ht="31.5" x14ac:dyDescent="0.5">
      <c r="A50" s="10" t="s">
        <v>67</v>
      </c>
      <c r="B50" s="11" t="s">
        <v>22</v>
      </c>
      <c r="C50" s="12">
        <v>32</v>
      </c>
      <c r="D50" s="12"/>
      <c r="E50" s="12">
        <f t="shared" si="0"/>
        <v>35.555555555555557</v>
      </c>
      <c r="F50" s="12">
        <v>27</v>
      </c>
      <c r="G50" s="12"/>
      <c r="H50" s="12">
        <f t="shared" si="1"/>
        <v>30</v>
      </c>
      <c r="I50" s="11">
        <v>38</v>
      </c>
      <c r="J50" s="11">
        <v>44</v>
      </c>
      <c r="K50" s="12"/>
      <c r="L50" s="12"/>
      <c r="M50" s="12">
        <f t="shared" si="2"/>
        <v>0</v>
      </c>
      <c r="N50" s="12">
        <f t="shared" si="3"/>
        <v>147.55555555555554</v>
      </c>
      <c r="O50" s="14">
        <v>45</v>
      </c>
      <c r="P50" s="12"/>
      <c r="Q50" s="16"/>
    </row>
    <row r="51" spans="1:17" ht="36" x14ac:dyDescent="0.55000000000000004">
      <c r="A51" s="24" t="s">
        <v>9</v>
      </c>
      <c r="B51" s="25"/>
      <c r="C51" s="27">
        <f>SUM(C6:C50)</f>
        <v>1539</v>
      </c>
      <c r="D51" s="27">
        <f t="shared" ref="D51:N51" si="4">SUM(D6:D50)</f>
        <v>0</v>
      </c>
      <c r="E51" s="27">
        <f t="shared" si="4"/>
        <v>1710.0000000000005</v>
      </c>
      <c r="F51" s="27">
        <f t="shared" si="4"/>
        <v>1398</v>
      </c>
      <c r="G51" s="27">
        <f t="shared" si="4"/>
        <v>0</v>
      </c>
      <c r="H51" s="27">
        <f t="shared" si="4"/>
        <v>1553.3333333333333</v>
      </c>
      <c r="I51" s="27">
        <f t="shared" si="4"/>
        <v>2404</v>
      </c>
      <c r="J51" s="27">
        <f t="shared" si="4"/>
        <v>2336</v>
      </c>
      <c r="K51" s="27">
        <f t="shared" si="4"/>
        <v>0</v>
      </c>
      <c r="L51" s="27">
        <f t="shared" si="4"/>
        <v>0</v>
      </c>
      <c r="M51" s="27">
        <f t="shared" si="4"/>
        <v>0</v>
      </c>
      <c r="N51" s="27">
        <f t="shared" si="4"/>
        <v>8003.3333333333339</v>
      </c>
      <c r="O51" s="28"/>
      <c r="P51" s="28"/>
      <c r="Q51" s="29"/>
    </row>
    <row r="52" spans="1:17" ht="36" x14ac:dyDescent="0.55000000000000004">
      <c r="A52" s="30" t="s">
        <v>68</v>
      </c>
      <c r="B52" s="31"/>
      <c r="C52" s="32">
        <f>AVERAGE(C6:C50)</f>
        <v>34.200000000000003</v>
      </c>
      <c r="D52" s="32" t="e">
        <f t="shared" ref="D52:N52" si="5">AVERAGE(D6:D50)</f>
        <v>#DIV/0!</v>
      </c>
      <c r="E52" s="32">
        <f t="shared" si="5"/>
        <v>38.000000000000007</v>
      </c>
      <c r="F52" s="32">
        <f t="shared" si="5"/>
        <v>31.772727272727273</v>
      </c>
      <c r="G52" s="32" t="e">
        <f t="shared" si="5"/>
        <v>#DIV/0!</v>
      </c>
      <c r="H52" s="32">
        <f t="shared" si="5"/>
        <v>34.518518518518519</v>
      </c>
      <c r="I52" s="32">
        <f t="shared" si="5"/>
        <v>53.422222222222224</v>
      </c>
      <c r="J52" s="32">
        <f t="shared" si="5"/>
        <v>53.090909090909093</v>
      </c>
      <c r="K52" s="32" t="e">
        <f t="shared" si="5"/>
        <v>#DIV/0!</v>
      </c>
      <c r="L52" s="32" t="e">
        <f t="shared" si="5"/>
        <v>#DIV/0!</v>
      </c>
      <c r="M52" s="32">
        <f t="shared" si="5"/>
        <v>0</v>
      </c>
      <c r="N52" s="32">
        <f t="shared" si="5"/>
        <v>177.85185185185188</v>
      </c>
      <c r="O52" s="33"/>
      <c r="P52" s="33"/>
      <c r="Q52" s="7"/>
    </row>
    <row r="53" spans="1:17" ht="36" x14ac:dyDescent="0.55000000000000004">
      <c r="A53" s="24" t="s">
        <v>69</v>
      </c>
      <c r="B53" s="25"/>
      <c r="C53" s="26"/>
      <c r="D53" s="26"/>
      <c r="E53" s="27"/>
      <c r="F53" s="27"/>
      <c r="G53" s="27"/>
      <c r="H53" s="27"/>
      <c r="I53" s="27"/>
      <c r="J53" s="27"/>
      <c r="K53" s="27"/>
      <c r="L53" s="27"/>
      <c r="M53" s="27"/>
      <c r="N53" s="26"/>
      <c r="O53" s="33"/>
      <c r="P53" s="33"/>
      <c r="Q53" s="7"/>
    </row>
    <row r="54" spans="1:17" ht="31.5" x14ac:dyDescent="0.5">
      <c r="A54" s="10" t="s">
        <v>70</v>
      </c>
      <c r="B54" s="34" t="s">
        <v>22</v>
      </c>
      <c r="C54" s="17"/>
      <c r="D54" s="17"/>
      <c r="E54" s="18">
        <f>(C54+D54)/90*100</f>
        <v>0</v>
      </c>
      <c r="F54" s="17"/>
      <c r="G54" s="17"/>
      <c r="H54" s="18">
        <f>(F54+G54)/90*100</f>
        <v>0</v>
      </c>
      <c r="I54" s="17"/>
      <c r="J54" s="17"/>
      <c r="K54" s="17"/>
      <c r="L54" s="18"/>
      <c r="M54" s="18">
        <f>(K54+L54)/90*100</f>
        <v>0</v>
      </c>
      <c r="N54" s="18">
        <f>(E54+H54+I54+J54+M54)</f>
        <v>0</v>
      </c>
      <c r="O54" s="18"/>
      <c r="P54" s="18"/>
      <c r="Q54" s="20"/>
    </row>
    <row r="55" spans="1:17" ht="31.5" x14ac:dyDescent="0.5">
      <c r="A55" s="10"/>
      <c r="B55" s="34"/>
      <c r="C55" s="17"/>
      <c r="D55" s="17"/>
      <c r="E55" s="18"/>
      <c r="F55" s="17"/>
      <c r="G55" s="17"/>
      <c r="H55" s="18"/>
      <c r="I55" s="17"/>
      <c r="J55" s="17"/>
      <c r="K55" s="40"/>
      <c r="L55" s="41"/>
      <c r="M55" s="41"/>
      <c r="N55" s="41"/>
      <c r="O55" s="41"/>
      <c r="P55" s="41"/>
      <c r="Q55" s="42"/>
    </row>
    <row r="56" spans="1:17" ht="36" x14ac:dyDescent="0.55000000000000004">
      <c r="A56" s="35" t="s">
        <v>71</v>
      </c>
      <c r="B56" s="35"/>
      <c r="C56" s="36" t="s">
        <v>72</v>
      </c>
      <c r="D56" s="36" t="s">
        <v>73</v>
      </c>
      <c r="E56" s="36" t="s">
        <v>74</v>
      </c>
      <c r="F56" s="36" t="s">
        <v>75</v>
      </c>
      <c r="G56" s="36" t="s">
        <v>76</v>
      </c>
      <c r="H56" s="36" t="s">
        <v>77</v>
      </c>
      <c r="I56" s="36" t="s">
        <v>78</v>
      </c>
      <c r="J56" s="36" t="s">
        <v>9</v>
      </c>
      <c r="K56" s="37"/>
      <c r="L56" s="38"/>
      <c r="M56" s="38"/>
      <c r="N56" s="38"/>
      <c r="O56" s="38"/>
      <c r="P56" s="38"/>
      <c r="Q56" s="39"/>
    </row>
    <row r="57" spans="1:17" ht="36" x14ac:dyDescent="0.55000000000000004">
      <c r="A57" s="35" t="s">
        <v>79</v>
      </c>
      <c r="B57" s="35"/>
      <c r="C57" s="36"/>
      <c r="D57" s="27"/>
      <c r="E57" s="27"/>
      <c r="F57" s="27"/>
      <c r="G57" s="27"/>
      <c r="H57" s="27"/>
      <c r="I57" s="27"/>
      <c r="J57" s="27">
        <f>(C57+D57+E57+F57+G57+H57+I57)</f>
        <v>0</v>
      </c>
      <c r="K57" s="37"/>
      <c r="L57" s="38"/>
      <c r="M57" s="38"/>
      <c r="N57" s="38"/>
      <c r="O57" s="38"/>
      <c r="P57" s="38"/>
      <c r="Q57" s="3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2021-01-26T22:08:22Z</dcterms:modified>
</cp:coreProperties>
</file>